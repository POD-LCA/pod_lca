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htaba\Desktop\pod_lca_git\pod_lca\data\transportation_dataset\"/>
    </mc:Choice>
  </mc:AlternateContent>
  <xr:revisionPtr revIDLastSave="0" documentId="13_ncr:1_{041D2704-7105-4866-9F72-4151D2F7B0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t_maritime-descriptiv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yknIE2pHkT1OFnE4mB7A5pkQliKlDBz+/vm6DnQnoo="/>
    </ext>
  </extLst>
</workbook>
</file>

<file path=xl/calcChain.xml><?xml version="1.0" encoding="utf-8"?>
<calcChain xmlns="http://schemas.openxmlformats.org/spreadsheetml/2006/main">
  <c r="E25" i="2" l="1"/>
  <c r="E24" i="2"/>
  <c r="E23" i="2"/>
  <c r="E21" i="2"/>
  <c r="E20" i="2"/>
  <c r="E19" i="2"/>
  <c r="E18" i="2"/>
  <c r="E17" i="2"/>
  <c r="E16" i="2"/>
  <c r="E15" i="2"/>
  <c r="E14" i="2"/>
  <c r="E13" i="2"/>
  <c r="E11" i="2"/>
  <c r="E10" i="2"/>
  <c r="E9" i="2"/>
  <c r="E7" i="2"/>
  <c r="E6" i="2"/>
  <c r="E5" i="2"/>
  <c r="E8" i="2" s="1"/>
  <c r="E3" i="2"/>
  <c r="E2" i="2"/>
  <c r="E4" i="2" s="1"/>
  <c r="E26" i="2" l="1"/>
  <c r="E12" i="2"/>
  <c r="E22" i="2"/>
</calcChain>
</file>

<file path=xl/sharedStrings.xml><?xml version="1.0" encoding="utf-8"?>
<sst xmlns="http://schemas.openxmlformats.org/spreadsheetml/2006/main" count="92" uniqueCount="33">
  <si>
    <t>Region</t>
  </si>
  <si>
    <t>Canada</t>
  </si>
  <si>
    <t>Mexico</t>
  </si>
  <si>
    <t>South America</t>
  </si>
  <si>
    <t>Europe</t>
  </si>
  <si>
    <t>China</t>
  </si>
  <si>
    <t>Coast</t>
  </si>
  <si>
    <t>USA Port</t>
  </si>
  <si>
    <t>Foreign Port</t>
  </si>
  <si>
    <t>Distance (km)</t>
  </si>
  <si>
    <t>Distance (nautical miles)</t>
  </si>
  <si>
    <t>MH: Can you note the data source in this spreadsheet?  for each tab</t>
  </si>
  <si>
    <t>West Coast</t>
  </si>
  <si>
    <t>New York</t>
  </si>
  <si>
    <t>Montreal</t>
  </si>
  <si>
    <t>East Coast</t>
  </si>
  <si>
    <t>Los Angeles</t>
  </si>
  <si>
    <t>Vancouver</t>
  </si>
  <si>
    <t>Canada (Average Distance)</t>
  </si>
  <si>
    <t>Veracruz</t>
  </si>
  <si>
    <t>Gulf Coast</t>
  </si>
  <si>
    <t>Houston</t>
  </si>
  <si>
    <t>Manzanillo</t>
  </si>
  <si>
    <t>Mexico (Average Distance)</t>
  </si>
  <si>
    <t>Santos (Brazil)</t>
  </si>
  <si>
    <t>Callao (Peru)</t>
  </si>
  <si>
    <t>South America (Average Distance)</t>
  </si>
  <si>
    <t>Rotterdam</t>
  </si>
  <si>
    <t>Antwerp</t>
  </si>
  <si>
    <t>Hamburg</t>
  </si>
  <si>
    <t>Europe (Average Distance)</t>
  </si>
  <si>
    <t>Shanghai</t>
  </si>
  <si>
    <t>China (Average Distance)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</si>
</sst>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FF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" fontId="1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L10" sqref="L10"/>
    </sheetView>
  </sheetViews>
  <sheetFormatPr defaultColWidth="14.453125" defaultRowHeight="15" customHeight="1" x14ac:dyDescent="0.35"/>
  <cols>
    <col min="1" max="1" width="31.81640625" customWidth="1"/>
    <col min="2" max="5" width="14.81640625" customWidth="1"/>
    <col min="6" max="6" width="24" customWidth="1"/>
    <col min="7" max="26" width="8.7265625" customWidth="1"/>
  </cols>
  <sheetData>
    <row r="1" spans="1:26" ht="14.25" customHeight="1" x14ac:dyDescent="0.3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I1" s="3" t="s">
        <v>11</v>
      </c>
    </row>
    <row r="2" spans="1:26" ht="14.25" customHeight="1" x14ac:dyDescent="0.35">
      <c r="A2" s="4" t="s">
        <v>1</v>
      </c>
      <c r="B2" s="4" t="s">
        <v>12</v>
      </c>
      <c r="C2" s="4" t="s">
        <v>13</v>
      </c>
      <c r="D2" s="4" t="s">
        <v>14</v>
      </c>
      <c r="E2" s="5">
        <f t="shared" ref="E2:E3" si="0">F2*1.852</f>
        <v>2807.6320000000001</v>
      </c>
      <c r="F2" s="4">
        <v>1516</v>
      </c>
    </row>
    <row r="3" spans="1:26" ht="14.25" customHeight="1" x14ac:dyDescent="0.35">
      <c r="A3" s="4" t="s">
        <v>1</v>
      </c>
      <c r="B3" s="4" t="s">
        <v>15</v>
      </c>
      <c r="C3" s="4" t="s">
        <v>16</v>
      </c>
      <c r="D3" s="4" t="s">
        <v>17</v>
      </c>
      <c r="E3" s="5">
        <f t="shared" si="0"/>
        <v>2152.0239999999999</v>
      </c>
      <c r="F3" s="4">
        <v>1162</v>
      </c>
    </row>
    <row r="4" spans="1:26" ht="14.25" customHeight="1" x14ac:dyDescent="0.35">
      <c r="A4" s="1" t="s">
        <v>18</v>
      </c>
      <c r="B4" s="1"/>
      <c r="C4" s="1"/>
      <c r="D4" s="1"/>
      <c r="E4" s="6">
        <f>AVERAGE(E2:E3)</f>
        <v>2479.828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4" t="s">
        <v>2</v>
      </c>
      <c r="B5" s="4" t="s">
        <v>15</v>
      </c>
      <c r="C5" s="4" t="s">
        <v>13</v>
      </c>
      <c r="D5" s="4" t="s">
        <v>19</v>
      </c>
      <c r="E5" s="5">
        <f t="shared" ref="E5:E7" si="1">F5*1.852</f>
        <v>1874.2240000000002</v>
      </c>
      <c r="F5" s="4">
        <v>1012</v>
      </c>
    </row>
    <row r="6" spans="1:26" ht="14.25" customHeight="1" x14ac:dyDescent="0.35">
      <c r="A6" s="4" t="s">
        <v>2</v>
      </c>
      <c r="B6" s="4" t="s">
        <v>20</v>
      </c>
      <c r="C6" s="4" t="s">
        <v>21</v>
      </c>
      <c r="D6" s="4" t="s">
        <v>19</v>
      </c>
      <c r="E6" s="5">
        <f t="shared" si="1"/>
        <v>1231.5800000000002</v>
      </c>
      <c r="F6" s="4">
        <v>665</v>
      </c>
    </row>
    <row r="7" spans="1:26" ht="14.25" customHeight="1" x14ac:dyDescent="0.35">
      <c r="A7" s="4" t="s">
        <v>2</v>
      </c>
      <c r="B7" s="4" t="s">
        <v>12</v>
      </c>
      <c r="C7" s="4" t="s">
        <v>16</v>
      </c>
      <c r="D7" s="4" t="s">
        <v>22</v>
      </c>
      <c r="E7" s="5">
        <f t="shared" si="1"/>
        <v>2233.5120000000002</v>
      </c>
      <c r="F7" s="4">
        <v>1206</v>
      </c>
    </row>
    <row r="8" spans="1:26" ht="14.25" customHeight="1" x14ac:dyDescent="0.35">
      <c r="A8" s="1" t="s">
        <v>23</v>
      </c>
      <c r="B8" s="1"/>
      <c r="C8" s="1"/>
      <c r="D8" s="1"/>
      <c r="E8" s="6">
        <f>AVERAGE(E5:E7)</f>
        <v>1779.7720000000002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4" t="s">
        <v>3</v>
      </c>
      <c r="B9" s="4" t="s">
        <v>15</v>
      </c>
      <c r="C9" s="4" t="s">
        <v>13</v>
      </c>
      <c r="D9" s="4" t="s">
        <v>24</v>
      </c>
      <c r="E9" s="5">
        <f t="shared" ref="E9:E11" si="2">F9*1.852</f>
        <v>9130.36</v>
      </c>
      <c r="F9" s="4">
        <v>4930</v>
      </c>
    </row>
    <row r="10" spans="1:26" ht="14.25" customHeight="1" x14ac:dyDescent="0.35">
      <c r="A10" s="4" t="s">
        <v>3</v>
      </c>
      <c r="B10" s="4" t="s">
        <v>15</v>
      </c>
      <c r="C10" s="4" t="s">
        <v>21</v>
      </c>
      <c r="D10" s="4" t="s">
        <v>24</v>
      </c>
      <c r="E10" s="5">
        <f t="shared" si="2"/>
        <v>10204.52</v>
      </c>
      <c r="F10" s="4">
        <v>5510</v>
      </c>
    </row>
    <row r="11" spans="1:26" ht="14.25" customHeight="1" x14ac:dyDescent="0.35">
      <c r="A11" s="4" t="s">
        <v>3</v>
      </c>
      <c r="B11" s="4" t="s">
        <v>12</v>
      </c>
      <c r="C11" s="4" t="s">
        <v>16</v>
      </c>
      <c r="D11" s="4" t="s">
        <v>25</v>
      </c>
      <c r="E11" s="5">
        <f t="shared" si="2"/>
        <v>6767.2080000000005</v>
      </c>
      <c r="F11" s="4">
        <v>3654</v>
      </c>
    </row>
    <row r="12" spans="1:26" ht="14.25" customHeight="1" x14ac:dyDescent="0.35">
      <c r="A12" s="1" t="s">
        <v>26</v>
      </c>
      <c r="B12" s="1"/>
      <c r="C12" s="1"/>
      <c r="D12" s="1"/>
      <c r="E12" s="6">
        <f>AVERAGE(E9:E11)</f>
        <v>8700.6960000000017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4" t="s">
        <v>4</v>
      </c>
      <c r="B13" s="4" t="s">
        <v>15</v>
      </c>
      <c r="C13" s="4" t="s">
        <v>13</v>
      </c>
      <c r="D13" s="4" t="s">
        <v>27</v>
      </c>
      <c r="E13" s="5">
        <f t="shared" ref="E13:E21" si="3">F13*1.852</f>
        <v>6265.3160000000007</v>
      </c>
      <c r="F13" s="4">
        <v>3383</v>
      </c>
    </row>
    <row r="14" spans="1:26" ht="14.25" customHeight="1" x14ac:dyDescent="0.35">
      <c r="A14" s="4" t="s">
        <v>4</v>
      </c>
      <c r="B14" s="4" t="s">
        <v>15</v>
      </c>
      <c r="C14" s="4" t="s">
        <v>13</v>
      </c>
      <c r="D14" s="4" t="s">
        <v>28</v>
      </c>
      <c r="E14" s="5">
        <f t="shared" si="3"/>
        <v>6274.576</v>
      </c>
      <c r="F14" s="4">
        <v>3388</v>
      </c>
    </row>
    <row r="15" spans="1:26" ht="14.25" customHeight="1" x14ac:dyDescent="0.35">
      <c r="A15" s="4" t="s">
        <v>4</v>
      </c>
      <c r="B15" s="4" t="s">
        <v>15</v>
      </c>
      <c r="C15" s="4" t="s">
        <v>13</v>
      </c>
      <c r="D15" s="4" t="s">
        <v>29</v>
      </c>
      <c r="E15" s="5">
        <f t="shared" si="3"/>
        <v>6704.2400000000007</v>
      </c>
      <c r="F15" s="4">
        <v>3620</v>
      </c>
    </row>
    <row r="16" spans="1:26" ht="14.25" customHeight="1" x14ac:dyDescent="0.35">
      <c r="A16" s="4" t="s">
        <v>4</v>
      </c>
      <c r="B16" s="4" t="s">
        <v>20</v>
      </c>
      <c r="C16" s="4" t="s">
        <v>21</v>
      </c>
      <c r="D16" s="4" t="s">
        <v>27</v>
      </c>
      <c r="E16" s="5">
        <f t="shared" si="3"/>
        <v>9356.3040000000001</v>
      </c>
      <c r="F16" s="4">
        <v>5052</v>
      </c>
    </row>
    <row r="17" spans="1:26" ht="14.25" customHeight="1" x14ac:dyDescent="0.35">
      <c r="A17" s="4" t="s">
        <v>4</v>
      </c>
      <c r="B17" s="4" t="s">
        <v>20</v>
      </c>
      <c r="C17" s="4" t="s">
        <v>21</v>
      </c>
      <c r="D17" s="4" t="s">
        <v>28</v>
      </c>
      <c r="E17" s="5">
        <f t="shared" si="3"/>
        <v>9365.5640000000003</v>
      </c>
      <c r="F17" s="4">
        <v>5057</v>
      </c>
    </row>
    <row r="18" spans="1:26" ht="14.25" customHeight="1" x14ac:dyDescent="0.35">
      <c r="A18" s="4" t="s">
        <v>4</v>
      </c>
      <c r="B18" s="4" t="s">
        <v>20</v>
      </c>
      <c r="C18" s="4" t="s">
        <v>21</v>
      </c>
      <c r="D18" s="4" t="s">
        <v>29</v>
      </c>
      <c r="E18" s="5">
        <f t="shared" si="3"/>
        <v>9734.112000000001</v>
      </c>
      <c r="F18" s="4">
        <v>5256</v>
      </c>
    </row>
    <row r="19" spans="1:26" ht="14.25" customHeight="1" x14ac:dyDescent="0.35">
      <c r="A19" s="4" t="s">
        <v>4</v>
      </c>
      <c r="B19" s="4" t="s">
        <v>12</v>
      </c>
      <c r="C19" s="4" t="s">
        <v>16</v>
      </c>
      <c r="D19" s="4" t="s">
        <v>27</v>
      </c>
      <c r="E19" s="5">
        <f t="shared" si="3"/>
        <v>14356.704000000002</v>
      </c>
      <c r="F19" s="4">
        <v>7752</v>
      </c>
    </row>
    <row r="20" spans="1:26" ht="14.25" customHeight="1" x14ac:dyDescent="0.35">
      <c r="A20" s="4" t="s">
        <v>4</v>
      </c>
      <c r="B20" s="4" t="s">
        <v>12</v>
      </c>
      <c r="C20" s="4" t="s">
        <v>16</v>
      </c>
      <c r="D20" s="4" t="s">
        <v>28</v>
      </c>
      <c r="E20" s="5">
        <f t="shared" si="3"/>
        <v>14365.964</v>
      </c>
      <c r="F20" s="4">
        <v>7757</v>
      </c>
    </row>
    <row r="21" spans="1:26" ht="14.25" customHeight="1" x14ac:dyDescent="0.35">
      <c r="A21" s="4" t="s">
        <v>4</v>
      </c>
      <c r="B21" s="4" t="s">
        <v>12</v>
      </c>
      <c r="C21" s="4" t="s">
        <v>16</v>
      </c>
      <c r="D21" s="4" t="s">
        <v>29</v>
      </c>
      <c r="E21" s="5">
        <f t="shared" si="3"/>
        <v>14825.26</v>
      </c>
      <c r="F21" s="4">
        <v>8005</v>
      </c>
    </row>
    <row r="22" spans="1:26" ht="14.25" customHeight="1" x14ac:dyDescent="0.35">
      <c r="A22" s="1" t="s">
        <v>30</v>
      </c>
      <c r="B22" s="1"/>
      <c r="C22" s="1"/>
      <c r="D22" s="1"/>
      <c r="E22" s="6">
        <f>AVERAGE(E13:E21)</f>
        <v>10138.671111111111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4" t="s">
        <v>5</v>
      </c>
      <c r="B23" s="4" t="s">
        <v>15</v>
      </c>
      <c r="C23" s="4" t="s">
        <v>13</v>
      </c>
      <c r="D23" s="4" t="s">
        <v>31</v>
      </c>
      <c r="E23" s="5">
        <f t="shared" ref="E23:E25" si="4">F23*1.852</f>
        <v>19597.864000000001</v>
      </c>
      <c r="F23" s="4">
        <v>10582</v>
      </c>
    </row>
    <row r="24" spans="1:26" ht="14.25" customHeight="1" x14ac:dyDescent="0.35">
      <c r="A24" s="4" t="s">
        <v>5</v>
      </c>
      <c r="B24" s="4" t="s">
        <v>20</v>
      </c>
      <c r="C24" s="4" t="s">
        <v>21</v>
      </c>
      <c r="D24" s="4" t="s">
        <v>31</v>
      </c>
      <c r="E24" s="5">
        <f t="shared" si="4"/>
        <v>18775.576000000001</v>
      </c>
      <c r="F24" s="4">
        <v>10138</v>
      </c>
    </row>
    <row r="25" spans="1:26" ht="14.25" customHeight="1" x14ac:dyDescent="0.35">
      <c r="A25" s="4" t="s">
        <v>5</v>
      </c>
      <c r="B25" s="4" t="s">
        <v>12</v>
      </c>
      <c r="C25" s="4" t="s">
        <v>16</v>
      </c>
      <c r="D25" s="4" t="s">
        <v>31</v>
      </c>
      <c r="E25" s="5">
        <f t="shared" si="4"/>
        <v>10571.216</v>
      </c>
      <c r="F25" s="4">
        <v>5708</v>
      </c>
    </row>
    <row r="26" spans="1:26" ht="14.25" customHeight="1" x14ac:dyDescent="0.35">
      <c r="A26" s="1" t="s">
        <v>32</v>
      </c>
      <c r="B26" s="1"/>
      <c r="C26" s="1"/>
      <c r="D26" s="1"/>
      <c r="E26" s="6">
        <f>AVERAGE(E23:E25)</f>
        <v>16314.885333333334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/>
    <row r="28" spans="1:26" ht="14.25" customHeight="1" x14ac:dyDescent="0.35"/>
    <row r="29" spans="1:26" ht="14.25" customHeight="1" x14ac:dyDescent="0.35"/>
    <row r="30" spans="1:26" ht="14.25" customHeight="1" x14ac:dyDescent="0.35"/>
    <row r="31" spans="1:26" ht="14.25" customHeight="1" x14ac:dyDescent="0.35"/>
    <row r="32" spans="1:2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dist_maritime-descriptive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Taba</cp:lastModifiedBy>
  <dcterms:created xsi:type="dcterms:W3CDTF">2024-10-22T19:11:55Z</dcterms:created>
  <dcterms:modified xsi:type="dcterms:W3CDTF">2024-12-29T00:17:39Z</dcterms:modified>
</cp:coreProperties>
</file>